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3257F14F-B6BA-44CF-8F78-2EBB4A491222}" xr6:coauthVersionLast="47" xr6:coauthVersionMax="47" xr10:uidLastSave="{00000000-0000-0000-0000-000000000000}"/>
  <bookViews>
    <workbookView xWindow="-109" yWindow="-109" windowWidth="26301" windowHeight="14169" xr2:uid="{33422D19-9E8D-414E-BAC9-16AAE4CF6956}"/>
  </bookViews>
  <sheets>
    <sheet name="Simulador de investimento" sheetId="1" r:id="rId1"/>
    <sheet name="Tipo de Investimento" sheetId="2" r:id="rId2"/>
  </sheets>
  <definedNames>
    <definedName name="aporte">'Simulador de investimento'!$K$16</definedName>
    <definedName name="patrimonio">'Simulador de investimento'!$K$19</definedName>
    <definedName name="prazo_anos">'Simulador de investimento'!$K$17</definedName>
    <definedName name="rendimento_carteira">'Simulador de investimento'!$K$11</definedName>
    <definedName name="rendimento_mensal">'Simulador de investimento'!$K$18</definedName>
    <definedName name="salario">'Simulador de investimento'!$K$10</definedName>
    <definedName name="sugestao_invest">'Simulador de investimento'!$K$12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7" i="1" l="1"/>
  <c r="K38" i="1"/>
  <c r="K39" i="1"/>
  <c r="K40" i="1"/>
  <c r="K41" i="1"/>
  <c r="K36" i="1"/>
  <c r="K42" i="1" s="1"/>
  <c r="A17" i="2"/>
  <c r="A18" i="2"/>
  <c r="A19" i="2"/>
  <c r="A20" i="2"/>
  <c r="A21" i="2"/>
  <c r="A16" i="2"/>
  <c r="A11" i="2"/>
  <c r="A12" i="2"/>
  <c r="A13" i="2"/>
  <c r="A14" i="2"/>
  <c r="A15" i="2"/>
  <c r="A10" i="2"/>
  <c r="A9" i="2"/>
  <c r="A5" i="2"/>
  <c r="A6" i="2"/>
  <c r="A7" i="2"/>
  <c r="A8" i="2"/>
  <c r="A4" i="2"/>
  <c r="K12" i="1"/>
  <c r="K33" i="1" l="1"/>
  <c r="L39" i="1" s="1"/>
  <c r="K19" i="1"/>
  <c r="K20" i="1" s="1"/>
  <c r="K27" i="1"/>
  <c r="L27" i="1" s="1"/>
  <c r="K28" i="1"/>
  <c r="L28" i="1" s="1"/>
  <c r="K29" i="1"/>
  <c r="L29" i="1" s="1"/>
  <c r="K26" i="1"/>
  <c r="L26" i="1" s="1"/>
  <c r="K25" i="1"/>
  <c r="L25" i="1" s="1"/>
  <c r="L37" i="1" l="1"/>
  <c r="L38" i="1"/>
  <c r="L41" i="1"/>
  <c r="L36" i="1"/>
  <c r="L40" i="1"/>
  <c r="L42" i="1" l="1"/>
</calcChain>
</file>

<file path=xl/sharedStrings.xml><?xml version="1.0" encoding="utf-8"?>
<sst xmlns="http://schemas.openxmlformats.org/spreadsheetml/2006/main" count="72" uniqueCount="36">
  <si>
    <t>Quanto investir por mês?</t>
  </si>
  <si>
    <t>Por quantos anos?</t>
  </si>
  <si>
    <t>Taxa de rendimento mensal?</t>
  </si>
  <si>
    <t>Patrimônio acumulado?</t>
  </si>
  <si>
    <t>Dividendos mensais?</t>
  </si>
  <si>
    <t>PRAZO</t>
  </si>
  <si>
    <t>DIVIDENDO</t>
  </si>
  <si>
    <t>2 Anos</t>
  </si>
  <si>
    <t>5 Anos</t>
  </si>
  <si>
    <t>10 Anos</t>
  </si>
  <si>
    <t>20 Anos</t>
  </si>
  <si>
    <t>PATRIMÔNIO ACUMULADO</t>
  </si>
  <si>
    <t>INVESTIMENTO MENSAL</t>
  </si>
  <si>
    <t>CENÁRIOS</t>
  </si>
  <si>
    <t>CONFIGURAÇÕES</t>
  </si>
  <si>
    <t>Salário</t>
  </si>
  <si>
    <t>Rendimento Carteira</t>
  </si>
  <si>
    <t>PERFIL</t>
  </si>
  <si>
    <t>AGRESSIVO</t>
  </si>
  <si>
    <t>Investimento mensal</t>
  </si>
  <si>
    <t>Percentual Sugerido</t>
  </si>
  <si>
    <t>Valores</t>
  </si>
  <si>
    <t>TIPO DE FII</t>
  </si>
  <si>
    <t>PAPEL</t>
  </si>
  <si>
    <t>TIJOLO</t>
  </si>
  <si>
    <t>HÍBRIDOS</t>
  </si>
  <si>
    <t>FOFs</t>
  </si>
  <si>
    <t>DESENVOLVIMENTO</t>
  </si>
  <si>
    <t>HOTELARIAS</t>
  </si>
  <si>
    <t>CONSERVADOR</t>
  </si>
  <si>
    <t>PERCENTUAL</t>
  </si>
  <si>
    <t>CHAVE</t>
  </si>
  <si>
    <t>MODERADO</t>
  </si>
  <si>
    <t>Sugestão de Investimento (30%)</t>
  </si>
  <si>
    <t>30 Anos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</si>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</sst>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1"/>
      <color theme="9" tint="-0.249977111117893"/>
      <name val="Verdana"/>
      <family val="2"/>
    </font>
    <font>
      <b/>
      <sz val="18"/>
      <color theme="0"/>
      <name val="Verdana"/>
      <family val="2"/>
    </font>
    <font>
      <b/>
      <sz val="10"/>
      <color theme="0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71A6DB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5192D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24994659260841701"/>
      </left>
      <right/>
      <top style="medium">
        <color theme="0" tint="-0.499984740745262"/>
      </top>
      <bottom style="thin">
        <color theme="0" tint="-0.24994659260841701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24994659260841701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14996795556505021"/>
      </right>
      <top style="medium">
        <color theme="0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499984740745262"/>
      </right>
      <top style="medium">
        <color theme="0" tint="-0.499984740745262"/>
      </top>
      <bottom style="thin">
        <color theme="0" tint="-0.14996795556505021"/>
      </bottom>
      <diagonal/>
    </border>
    <border>
      <left style="medium">
        <color theme="0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499984740745262"/>
      </left>
      <right style="thin">
        <color theme="0" tint="-0.14996795556505021"/>
      </right>
      <top style="thin">
        <color theme="0" tint="-0.14996795556505021"/>
      </top>
      <bottom style="medium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499984740745262"/>
      </bottom>
      <diagonal/>
    </border>
    <border>
      <left style="thin">
        <color theme="0" tint="-0.14996795556505021"/>
      </left>
      <right style="medium">
        <color theme="0" tint="-0.499984740745262"/>
      </right>
      <top style="thin">
        <color theme="0" tint="-0.14996795556505021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24994659260841701"/>
      </right>
      <top style="medium">
        <color theme="0" tint="-0.499984740745262"/>
      </top>
      <bottom style="thin">
        <color theme="0" tint="-0.24994659260841701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/>
      <bottom style="thin">
        <color theme="0" tint="-0.149967955565050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3" borderId="16" xfId="0" applyFont="1" applyFill="1" applyBorder="1" applyAlignment="1">
      <alignment horizontal="left" vertical="center" indent="1"/>
    </xf>
    <xf numFmtId="0" fontId="3" fillId="3" borderId="19" xfId="0" applyFont="1" applyFill="1" applyBorder="1" applyAlignment="1">
      <alignment horizontal="left" vertical="center" indent="1"/>
    </xf>
    <xf numFmtId="0" fontId="3" fillId="3" borderId="22" xfId="0" applyFont="1" applyFill="1" applyBorder="1" applyAlignment="1">
      <alignment horizontal="left" vertical="center" indent="1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164" fontId="3" fillId="3" borderId="17" xfId="0" applyNumberFormat="1" applyFont="1" applyFill="1" applyBorder="1" applyAlignment="1">
      <alignment horizontal="center" vertical="center"/>
    </xf>
    <xf numFmtId="8" fontId="5" fillId="3" borderId="18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164" fontId="3" fillId="3" borderId="20" xfId="0" applyNumberFormat="1" applyFont="1" applyFill="1" applyBorder="1" applyAlignment="1">
      <alignment horizontal="center" vertical="center"/>
    </xf>
    <xf numFmtId="8" fontId="5" fillId="3" borderId="21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 indent="2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 indent="2"/>
    </xf>
    <xf numFmtId="164" fontId="0" fillId="0" borderId="0" xfId="0" applyNumberFormat="1"/>
    <xf numFmtId="164" fontId="9" fillId="3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9" fillId="6" borderId="0" xfId="0" applyFont="1" applyFill="1" applyAlignment="1">
      <alignment horizontal="center" vertical="center"/>
    </xf>
    <xf numFmtId="164" fontId="9" fillId="6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23" xfId="0" applyBorder="1"/>
    <xf numFmtId="0" fontId="0" fillId="0" borderId="23" xfId="0" applyBorder="1" applyAlignment="1">
      <alignment horizontal="center" vertical="center"/>
    </xf>
    <xf numFmtId="10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9" fontId="8" fillId="7" borderId="26" xfId="0" applyNumberFormat="1" applyFont="1" applyFill="1" applyBorder="1" applyAlignment="1">
      <alignment horizontal="center" vertical="center"/>
    </xf>
    <xf numFmtId="164" fontId="8" fillId="7" borderId="27" xfId="0" applyNumberFormat="1" applyFont="1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9" fontId="8" fillId="7" borderId="29" xfId="0" applyNumberFormat="1" applyFont="1" applyFill="1" applyBorder="1" applyAlignment="1">
      <alignment horizontal="center" vertical="center"/>
    </xf>
    <xf numFmtId="164" fontId="8" fillId="7" borderId="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9" fontId="8" fillId="7" borderId="31" xfId="0" applyNumberFormat="1" applyFont="1" applyFill="1" applyBorder="1" applyAlignment="1">
      <alignment horizontal="center" vertical="center"/>
    </xf>
    <xf numFmtId="164" fontId="8" fillId="7" borderId="32" xfId="0" applyNumberFormat="1" applyFont="1" applyFill="1" applyBorder="1" applyAlignment="1">
      <alignment horizontal="center" vertical="center"/>
    </xf>
    <xf numFmtId="0" fontId="9" fillId="6" borderId="33" xfId="0" applyFont="1" applyFill="1" applyBorder="1" applyAlignment="1">
      <alignment horizontal="center" vertical="center"/>
    </xf>
    <xf numFmtId="9" fontId="9" fillId="6" borderId="0" xfId="0" applyNumberFormat="1" applyFont="1" applyFill="1" applyAlignment="1">
      <alignment horizontal="center" vertical="center"/>
    </xf>
    <xf numFmtId="0" fontId="6" fillId="4" borderId="12" xfId="0" applyFont="1" applyFill="1" applyBorder="1" applyAlignment="1">
      <alignment horizontal="left" vertical="center" indent="2"/>
    </xf>
    <xf numFmtId="0" fontId="6" fillId="4" borderId="13" xfId="0" applyFont="1" applyFill="1" applyBorder="1" applyAlignment="1">
      <alignment horizontal="left" vertical="center" indent="2"/>
    </xf>
    <xf numFmtId="0" fontId="6" fillId="4" borderId="14" xfId="0" applyFont="1" applyFill="1" applyBorder="1" applyAlignment="1">
      <alignment horizontal="left" vertical="center" indent="2"/>
    </xf>
    <xf numFmtId="0" fontId="6" fillId="4" borderId="15" xfId="0" applyFont="1" applyFill="1" applyBorder="1" applyAlignment="1">
      <alignment horizontal="left" vertical="center" indent="2"/>
    </xf>
    <xf numFmtId="164" fontId="3" fillId="0" borderId="17" xfId="0" applyNumberFormat="1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0" fontId="3" fillId="0" borderId="17" xfId="1" applyNumberFormat="1" applyFont="1" applyBorder="1" applyAlignment="1">
      <alignment horizontal="center" vertical="center"/>
    </xf>
    <xf numFmtId="10" fontId="3" fillId="0" borderId="18" xfId="1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 indent="2"/>
    </xf>
    <xf numFmtId="0" fontId="6" fillId="4" borderId="5" xfId="0" applyFont="1" applyFill="1" applyBorder="1" applyAlignment="1">
      <alignment horizontal="left" vertical="center" indent="2"/>
    </xf>
    <xf numFmtId="0" fontId="6" fillId="4" borderId="3" xfId="0" applyFont="1" applyFill="1" applyBorder="1" applyAlignment="1">
      <alignment horizontal="left" vertical="center" indent="2"/>
    </xf>
    <xf numFmtId="164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0" fontId="3" fillId="0" borderId="8" xfId="0" applyNumberFormat="1" applyFont="1" applyBorder="1" applyAlignment="1">
      <alignment horizontal="center" vertical="center"/>
    </xf>
    <xf numFmtId="10" fontId="3" fillId="0" borderId="9" xfId="0" applyNumberFormat="1" applyFont="1" applyBorder="1" applyAlignment="1">
      <alignment horizontal="center" vertical="center"/>
    </xf>
    <xf numFmtId="8" fontId="5" fillId="3" borderId="8" xfId="0" applyNumberFormat="1" applyFont="1" applyFill="1" applyBorder="1" applyAlignment="1">
      <alignment horizontal="center" vertical="center"/>
    </xf>
    <xf numFmtId="8" fontId="5" fillId="3" borderId="9" xfId="0" applyNumberFormat="1" applyFont="1" applyFill="1" applyBorder="1" applyAlignment="1">
      <alignment horizontal="center" vertical="center"/>
    </xf>
    <xf numFmtId="8" fontId="5" fillId="3" borderId="10" xfId="0" applyNumberFormat="1" applyFont="1" applyFill="1" applyBorder="1" applyAlignment="1">
      <alignment horizontal="center" vertical="center"/>
    </xf>
    <xf numFmtId="8" fontId="5" fillId="3" borderId="11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AEAEA"/>
      <color rgb="FF4155CF"/>
      <color rgb="FF1C1CCE"/>
      <color rgb="FF71A6DB"/>
      <color rgb="FF5192D3"/>
      <color rgb="FFAFCDEB"/>
      <color rgb="FFDBDBDB"/>
      <color rgb="FFCFCFCF"/>
      <color rgb="FF47C5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92-4A5E-B336-FE1E31C1006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92-4A5E-B336-FE1E31C1006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92-4A5E-B336-FE1E31C1006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92-4A5E-B336-FE1E31C1006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892-4A5E-B336-FE1E31C1006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892-4A5E-B336-FE1E31C1006F}"/>
              </c:ext>
            </c:extLst>
          </c:dPt>
          <c:cat>
            <c:strRef>
              <c:f>'Simulador de investimento'!$J$36:$J$41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'Simulador de investimento'!$K$36:$K$41</c:f>
              <c:numCache>
                <c:formatCode>0%</c:formatCode>
                <c:ptCount val="6"/>
                <c:pt idx="0">
                  <c:v>0.22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9-4A14-8BFE-825C6F728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25881</xdr:colOff>
      <xdr:row>0</xdr:row>
      <xdr:rowOff>175334</xdr:rowOff>
    </xdr:from>
    <xdr:to>
      <xdr:col>13</xdr:col>
      <xdr:colOff>8627</xdr:colOff>
      <xdr:row>6</xdr:row>
      <xdr:rowOff>8627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23BBE904-773D-43D6-8339-76AA59E76C4E}"/>
            </a:ext>
          </a:extLst>
        </xdr:cNvPr>
        <xdr:cNvGrpSpPr/>
      </xdr:nvGrpSpPr>
      <xdr:grpSpPr>
        <a:xfrm>
          <a:off x="3124348" y="175334"/>
          <a:ext cx="7315199" cy="986415"/>
          <a:chOff x="3131391" y="175334"/>
          <a:chExt cx="7341074" cy="864000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B9CB48DB-E588-4167-978D-B9C23E622035}"/>
              </a:ext>
            </a:extLst>
          </xdr:cNvPr>
          <xdr:cNvSpPr/>
        </xdr:nvSpPr>
        <xdr:spPr>
          <a:xfrm>
            <a:off x="3131391" y="180329"/>
            <a:ext cx="7341074" cy="854011"/>
          </a:xfrm>
          <a:prstGeom prst="roundRect">
            <a:avLst/>
          </a:prstGeom>
        </xdr:spPr>
        <xdr:style>
          <a:lnRef idx="0">
            <a:schemeClr val="accent5"/>
          </a:lnRef>
          <a:fillRef idx="3">
            <a:schemeClr val="accent5"/>
          </a:fillRef>
          <a:effectRef idx="3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C16121A2-1724-4525-AC39-34C48FC134F6}"/>
              </a:ext>
            </a:extLst>
          </xdr:cNvPr>
          <xdr:cNvSpPr txBox="1"/>
        </xdr:nvSpPr>
        <xdr:spPr>
          <a:xfrm>
            <a:off x="4891178" y="276800"/>
            <a:ext cx="5421832" cy="661068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5000">
                <a:ln>
                  <a:noFill/>
                </a:ln>
                <a:solidFill>
                  <a:schemeClr val="bg1"/>
                </a:solidFill>
                <a:effectLst>
                  <a:outerShdw blurRad="50800" dist="38100" algn="l" rotWithShape="0">
                    <a:prstClr val="black">
                      <a:alpha val="40000"/>
                    </a:prstClr>
                  </a:outerShdw>
                </a:effectLst>
                <a:latin typeface="Copperplate Gothic Bold" panose="020E0705020206020404" pitchFamily="34" charset="0"/>
              </a:rPr>
              <a:t>DANK INVEST</a:t>
            </a:r>
          </a:p>
        </xdr:txBody>
      </xdr:sp>
      <xdr:pic>
        <xdr:nvPicPr>
          <xdr:cNvPr id="8" name="Gráfico 7" descr="Gráfico de barras com tendência ascendente com preenchimento sólido">
            <a:extLst>
              <a:ext uri="{FF2B5EF4-FFF2-40B4-BE49-F238E27FC236}">
                <a16:creationId xmlns:a16="http://schemas.microsoft.com/office/drawing/2014/main" id="{9279F074-119A-4382-A362-FE86555AE9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505212" y="175334"/>
            <a:ext cx="873927" cy="864000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17253</xdr:colOff>
      <xdr:row>42</xdr:row>
      <xdr:rowOff>25880</xdr:rowOff>
    </xdr:from>
    <xdr:to>
      <xdr:col>12</xdr:col>
      <xdr:colOff>25878</xdr:colOff>
      <xdr:row>53</xdr:row>
      <xdr:rowOff>17253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92F7D5-0C6C-4B53-91ED-6CC098985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A0F00-C877-427C-9E2D-18CE4D37818D}">
  <dimension ref="A2:V131"/>
  <sheetViews>
    <sheetView showGridLines="0" showRowColHeaders="0" tabSelected="1" zoomScale="98" zoomScaleNormal="98" workbookViewId="0">
      <selection activeCell="K17" sqref="K17:L17"/>
    </sheetView>
  </sheetViews>
  <sheetFormatPr defaultColWidth="0" defaultRowHeight="14.3" x14ac:dyDescent="0.25"/>
  <cols>
    <col min="1" max="9" width="5.625" customWidth="1"/>
    <col min="10" max="10" width="38.625" customWidth="1"/>
    <col min="11" max="11" width="34.75" customWidth="1"/>
    <col min="12" max="12" width="21.625" customWidth="1"/>
    <col min="13" max="21" width="5.625" customWidth="1"/>
    <col min="22" max="22" width="21.125" hidden="1" customWidth="1"/>
    <col min="23" max="16384" width="9" hidden="1"/>
  </cols>
  <sheetData>
    <row r="2" spans="10:12" ht="14.95" customHeight="1" x14ac:dyDescent="0.25"/>
    <row r="3" spans="10:12" ht="14.95" customHeight="1" x14ac:dyDescent="0.25"/>
    <row r="4" spans="10:12" ht="14.95" customHeight="1" x14ac:dyDescent="0.25"/>
    <row r="5" spans="10:12" ht="14.95" customHeight="1" x14ac:dyDescent="0.25"/>
    <row r="6" spans="10:12" ht="14.95" customHeight="1" x14ac:dyDescent="0.25"/>
    <row r="7" spans="10:12" ht="14.95" customHeight="1" x14ac:dyDescent="0.25"/>
    <row r="8" spans="10:12" ht="14.95" customHeight="1" thickBot="1" x14ac:dyDescent="0.3"/>
    <row r="9" spans="10:12" ht="29.9" customHeight="1" x14ac:dyDescent="0.25">
      <c r="J9" s="47" t="s">
        <v>14</v>
      </c>
      <c r="K9" s="48"/>
      <c r="L9" s="49"/>
    </row>
    <row r="10" spans="10:12" ht="20.05" customHeight="1" x14ac:dyDescent="0.25">
      <c r="J10" s="6" t="s">
        <v>15</v>
      </c>
      <c r="K10" s="50">
        <v>2000</v>
      </c>
      <c r="L10" s="51"/>
    </row>
    <row r="11" spans="10:12" ht="20.05" customHeight="1" x14ac:dyDescent="0.25">
      <c r="J11" s="6" t="s">
        <v>16</v>
      </c>
      <c r="K11" s="52">
        <v>6.0000000000000001E-3</v>
      </c>
      <c r="L11" s="53"/>
    </row>
    <row r="12" spans="10:12" ht="20.05" customHeight="1" thickBot="1" x14ac:dyDescent="0.3">
      <c r="J12" s="7" t="s">
        <v>33</v>
      </c>
      <c r="K12" s="54">
        <f>K10*30%</f>
        <v>600</v>
      </c>
      <c r="L12" s="55"/>
    </row>
    <row r="13" spans="10:12" ht="14.95" customHeight="1" x14ac:dyDescent="0.25"/>
    <row r="14" spans="10:12" ht="14.95" customHeight="1" thickBot="1" x14ac:dyDescent="0.3"/>
    <row r="15" spans="10:12" ht="30.1" customHeight="1" thickBot="1" x14ac:dyDescent="0.3">
      <c r="J15" s="56" t="s">
        <v>12</v>
      </c>
      <c r="K15" s="57"/>
      <c r="L15" s="58"/>
    </row>
    <row r="16" spans="10:12" ht="20.05" customHeight="1" x14ac:dyDescent="0.25">
      <c r="J16" s="8" t="s">
        <v>0</v>
      </c>
      <c r="K16" s="59">
        <v>601</v>
      </c>
      <c r="L16" s="60"/>
    </row>
    <row r="17" spans="10:21" ht="20.05" customHeight="1" x14ac:dyDescent="0.25">
      <c r="J17" s="5" t="s">
        <v>1</v>
      </c>
      <c r="K17" s="61">
        <v>9</v>
      </c>
      <c r="L17" s="62"/>
    </row>
    <row r="18" spans="10:21" ht="20.05" customHeight="1" x14ac:dyDescent="0.25">
      <c r="J18" s="5" t="s">
        <v>2</v>
      </c>
      <c r="K18" s="63">
        <v>1.0789999999999999E-2</v>
      </c>
      <c r="L18" s="64"/>
    </row>
    <row r="19" spans="10:21" ht="20.05" customHeight="1" x14ac:dyDescent="0.25">
      <c r="J19" s="3" t="s">
        <v>3</v>
      </c>
      <c r="K19" s="65">
        <f>FV(rendimento_mensal,prazo_anos*12,aporte)*-1</f>
        <v>121814.92343389672</v>
      </c>
      <c r="L19" s="66"/>
    </row>
    <row r="20" spans="10:21" ht="20.05" customHeight="1" thickBot="1" x14ac:dyDescent="0.3">
      <c r="J20" s="4" t="s">
        <v>4</v>
      </c>
      <c r="K20" s="67">
        <f>patrimonio*rendimento_carteira</f>
        <v>730.8895406033804</v>
      </c>
      <c r="L20" s="68"/>
    </row>
    <row r="21" spans="10:21" ht="14.95" customHeight="1" x14ac:dyDescent="0.25"/>
    <row r="22" spans="10:21" ht="14.95" customHeight="1" thickBot="1" x14ac:dyDescent="0.3"/>
    <row r="23" spans="10:21" ht="30.1" customHeight="1" thickBot="1" x14ac:dyDescent="0.3">
      <c r="J23" s="46" t="s">
        <v>13</v>
      </c>
      <c r="K23" s="46"/>
      <c r="L23" s="46"/>
    </row>
    <row r="24" spans="10:21" ht="20.05" customHeight="1" x14ac:dyDescent="0.25">
      <c r="J24" s="9" t="s">
        <v>5</v>
      </c>
      <c r="K24" s="10" t="s">
        <v>11</v>
      </c>
      <c r="L24" s="11" t="s">
        <v>6</v>
      </c>
    </row>
    <row r="25" spans="10:21" ht="20.05" customHeight="1" x14ac:dyDescent="0.25">
      <c r="J25" s="12" t="s">
        <v>7</v>
      </c>
      <c r="K25" s="13">
        <f>FV(rendimento_mensal,2*12,aporte)*-1</f>
        <v>16363.804005884775</v>
      </c>
      <c r="L25" s="14">
        <f>K25*rendimento_carteira</f>
        <v>98.182824035308656</v>
      </c>
      <c r="U25" s="2"/>
    </row>
    <row r="26" spans="10:21" ht="20.05" customHeight="1" x14ac:dyDescent="0.25">
      <c r="J26" s="12" t="s">
        <v>8</v>
      </c>
      <c r="K26" s="13">
        <f>FV($K$18,5*12,$K$16)*-1</f>
        <v>50349.925313091073</v>
      </c>
      <c r="L26" s="14">
        <f>K26*rendimento_carteira</f>
        <v>302.09955187854644</v>
      </c>
    </row>
    <row r="27" spans="10:21" ht="20.05" customHeight="1" x14ac:dyDescent="0.25">
      <c r="J27" s="12" t="s">
        <v>9</v>
      </c>
      <c r="K27" s="13">
        <f>FV($K$18,10*12,$K$16)*-1</f>
        <v>146213.81173063349</v>
      </c>
      <c r="L27" s="14">
        <f>K27*rendimento_carteira</f>
        <v>877.28287038380097</v>
      </c>
    </row>
    <row r="28" spans="10:21" ht="20.05" customHeight="1" x14ac:dyDescent="0.25">
      <c r="J28" s="12" t="s">
        <v>10</v>
      </c>
      <c r="K28" s="13">
        <f>FV($K$18,20*12,$K$16)*-1</f>
        <v>676244.23845834541</v>
      </c>
      <c r="L28" s="14">
        <f>K28*rendimento_carteira</f>
        <v>4057.4654307500728</v>
      </c>
    </row>
    <row r="29" spans="10:21" s="1" customFormat="1" ht="20.05" customHeight="1" thickBot="1" x14ac:dyDescent="0.3">
      <c r="J29" s="15" t="s">
        <v>34</v>
      </c>
      <c r="K29" s="16">
        <f>FV($K$18,30*12,$K$16)*-1</f>
        <v>2597623.9626578335</v>
      </c>
      <c r="L29" s="17">
        <f>K29*rendimento_carteira</f>
        <v>15585.743775947001</v>
      </c>
    </row>
    <row r="30" spans="10:21" ht="14.95" customHeight="1" x14ac:dyDescent="0.25"/>
    <row r="31" spans="10:21" ht="14.95" customHeight="1" x14ac:dyDescent="0.25"/>
    <row r="32" spans="10:21" ht="20.05" customHeight="1" x14ac:dyDescent="0.25">
      <c r="J32" s="18" t="s">
        <v>17</v>
      </c>
      <c r="K32" s="23" t="s">
        <v>32</v>
      </c>
      <c r="L32" s="18"/>
    </row>
    <row r="33" spans="10:12" ht="20.05" customHeight="1" x14ac:dyDescent="0.25">
      <c r="J33" s="20" t="s">
        <v>19</v>
      </c>
      <c r="K33" s="22">
        <f>aporte</f>
        <v>601</v>
      </c>
      <c r="L33" s="19"/>
    </row>
    <row r="34" spans="10:12" ht="14.95" customHeight="1" x14ac:dyDescent="0.25">
      <c r="K34" s="21"/>
    </row>
    <row r="35" spans="10:12" ht="20.05" customHeight="1" x14ac:dyDescent="0.25">
      <c r="J35" s="44" t="s">
        <v>22</v>
      </c>
      <c r="K35" s="44" t="s">
        <v>20</v>
      </c>
      <c r="L35" s="44" t="s">
        <v>21</v>
      </c>
    </row>
    <row r="36" spans="10:12" ht="20.05" customHeight="1" x14ac:dyDescent="0.25">
      <c r="J36" s="35" t="s">
        <v>23</v>
      </c>
      <c r="K36" s="36">
        <f>VLOOKUP($K$32&amp;"-"&amp;J36,'Tipo de Investimento'!A3:D21,4,FALSE)</f>
        <v>0.22</v>
      </c>
      <c r="L36" s="37">
        <f>K36*$K$33</f>
        <v>132.22</v>
      </c>
    </row>
    <row r="37" spans="10:12" ht="20.05" customHeight="1" x14ac:dyDescent="0.25">
      <c r="J37" s="38" t="s">
        <v>24</v>
      </c>
      <c r="K37" s="39">
        <f>VLOOKUP($K$32&amp;"-"&amp;J37,'Tipo de Investimento'!A4:D22,4,FALSE)</f>
        <v>0.4</v>
      </c>
      <c r="L37" s="40">
        <f t="shared" ref="L37:L41" si="0">K37*$K$33</f>
        <v>240.4</v>
      </c>
    </row>
    <row r="38" spans="10:12" ht="20.05" customHeight="1" x14ac:dyDescent="0.25">
      <c r="J38" s="38" t="s">
        <v>25</v>
      </c>
      <c r="K38" s="39">
        <f>VLOOKUP($K$32&amp;"-"&amp;J38,'Tipo de Investimento'!A5:D23,4,FALSE)</f>
        <v>0.08</v>
      </c>
      <c r="L38" s="40">
        <f t="shared" si="0"/>
        <v>48.08</v>
      </c>
    </row>
    <row r="39" spans="10:12" ht="20.05" customHeight="1" x14ac:dyDescent="0.25">
      <c r="J39" s="38" t="s">
        <v>26</v>
      </c>
      <c r="K39" s="39">
        <f>VLOOKUP($K$32&amp;"-"&amp;J39,'Tipo de Investimento'!A6:D24,4,FALSE)</f>
        <v>0.1</v>
      </c>
      <c r="L39" s="40">
        <f t="shared" si="0"/>
        <v>60.1</v>
      </c>
    </row>
    <row r="40" spans="10:12" ht="20.05" customHeight="1" x14ac:dyDescent="0.25">
      <c r="J40" s="38" t="s">
        <v>27</v>
      </c>
      <c r="K40" s="39">
        <f>VLOOKUP($K$32&amp;"-"&amp;J40,'Tipo de Investimento'!A7:D25,4,FALSE)</f>
        <v>0.1</v>
      </c>
      <c r="L40" s="40">
        <f t="shared" si="0"/>
        <v>60.1</v>
      </c>
    </row>
    <row r="41" spans="10:12" ht="20.05" customHeight="1" x14ac:dyDescent="0.25">
      <c r="J41" s="41" t="s">
        <v>28</v>
      </c>
      <c r="K41" s="42">
        <f>VLOOKUP($K$32&amp;"-"&amp;J41,'Tipo de Investimento'!A8:D26,4,FALSE)</f>
        <v>0.1</v>
      </c>
      <c r="L41" s="43">
        <f t="shared" si="0"/>
        <v>60.1</v>
      </c>
    </row>
    <row r="42" spans="10:12" ht="20.05" customHeight="1" x14ac:dyDescent="0.25">
      <c r="J42" s="25" t="s">
        <v>35</v>
      </c>
      <c r="K42" s="45">
        <f>SUM(K36:K41)</f>
        <v>0.99999999999999989</v>
      </c>
      <c r="L42" s="26">
        <f>SUM(L36:L41)</f>
        <v>601</v>
      </c>
    </row>
    <row r="43" spans="10:12" ht="20.05" customHeight="1" x14ac:dyDescent="0.25"/>
    <row r="44" spans="10:12" ht="20.05" customHeight="1" x14ac:dyDescent="0.25"/>
    <row r="45" spans="10:12" ht="20.05" customHeight="1" x14ac:dyDescent="0.25"/>
    <row r="46" spans="10:12" ht="20.05" customHeight="1" x14ac:dyDescent="0.25"/>
    <row r="47" spans="10:12" ht="20.05" customHeight="1" x14ac:dyDescent="0.25"/>
    <row r="48" spans="10:12" ht="20.05" customHeight="1" x14ac:dyDescent="0.25"/>
    <row r="49" ht="20.05" customHeight="1" x14ac:dyDescent="0.25"/>
    <row r="50" ht="20.05" customHeight="1" x14ac:dyDescent="0.25"/>
    <row r="51" ht="20.05" customHeight="1" x14ac:dyDescent="0.25"/>
    <row r="52" ht="20.05" customHeight="1" x14ac:dyDescent="0.25"/>
    <row r="53" ht="20.05" customHeight="1" x14ac:dyDescent="0.25"/>
    <row r="54" ht="20.05" customHeight="1" x14ac:dyDescent="0.25"/>
    <row r="55" ht="20.05" customHeight="1" x14ac:dyDescent="0.25"/>
    <row r="56" ht="20.05" customHeight="1" x14ac:dyDescent="0.25"/>
    <row r="57" ht="20.05" customHeight="1" x14ac:dyDescent="0.25"/>
    <row r="58" ht="20.05" customHeight="1" x14ac:dyDescent="0.25"/>
    <row r="59" ht="20.05" customHeight="1" x14ac:dyDescent="0.25"/>
    <row r="60" ht="20.05" customHeight="1" x14ac:dyDescent="0.25"/>
    <row r="61" ht="20.05" customHeight="1" x14ac:dyDescent="0.25"/>
    <row r="62" ht="20.05" customHeight="1" x14ac:dyDescent="0.25"/>
    <row r="63" ht="20.05" customHeight="1" x14ac:dyDescent="0.25"/>
    <row r="64" ht="20.05" customHeight="1" x14ac:dyDescent="0.25"/>
    <row r="65" ht="20.05" customHeight="1" x14ac:dyDescent="0.25"/>
    <row r="66" ht="20.05" customHeight="1" x14ac:dyDescent="0.25"/>
    <row r="67" ht="20.05" customHeight="1" x14ac:dyDescent="0.25"/>
    <row r="68" ht="20.05" customHeight="1" x14ac:dyDescent="0.25"/>
    <row r="69" ht="20.05" customHeight="1" x14ac:dyDescent="0.25"/>
    <row r="70" ht="20.05" customHeight="1" x14ac:dyDescent="0.25"/>
    <row r="71" ht="20.05" customHeight="1" x14ac:dyDescent="0.25"/>
    <row r="72" ht="20.05" customHeight="1" x14ac:dyDescent="0.25"/>
    <row r="73" ht="20.05" customHeight="1" x14ac:dyDescent="0.25"/>
    <row r="74" ht="20.05" customHeight="1" x14ac:dyDescent="0.25"/>
    <row r="75" ht="20.05" customHeight="1" x14ac:dyDescent="0.25"/>
    <row r="76" ht="20.05" customHeight="1" x14ac:dyDescent="0.25"/>
    <row r="77" ht="20.05" customHeight="1" x14ac:dyDescent="0.25"/>
    <row r="78" ht="20.05" customHeight="1" x14ac:dyDescent="0.25"/>
    <row r="79" ht="20.05" customHeight="1" x14ac:dyDescent="0.25"/>
    <row r="80" ht="20.05" customHeight="1" x14ac:dyDescent="0.25"/>
    <row r="81" ht="20.05" customHeight="1" x14ac:dyDescent="0.25"/>
    <row r="82" ht="20.05" customHeight="1" x14ac:dyDescent="0.25"/>
    <row r="83" ht="20.05" customHeight="1" x14ac:dyDescent="0.25"/>
    <row r="84" ht="20.05" customHeight="1" x14ac:dyDescent="0.25"/>
    <row r="85" ht="20.05" customHeight="1" x14ac:dyDescent="0.25"/>
    <row r="86" ht="20.05" customHeight="1" x14ac:dyDescent="0.25"/>
    <row r="87" ht="20.05" customHeight="1" x14ac:dyDescent="0.25"/>
    <row r="88" ht="20.05" customHeight="1" x14ac:dyDescent="0.25"/>
    <row r="89" ht="20.05" customHeight="1" x14ac:dyDescent="0.25"/>
    <row r="90" ht="20.05" customHeight="1" x14ac:dyDescent="0.25"/>
    <row r="91" ht="20.05" customHeight="1" x14ac:dyDescent="0.25"/>
    <row r="92" ht="20.05" customHeight="1" x14ac:dyDescent="0.25"/>
    <row r="93" ht="20.05" customHeight="1" x14ac:dyDescent="0.25"/>
    <row r="94" ht="20.05" customHeight="1" x14ac:dyDescent="0.25"/>
    <row r="95" ht="20.05" customHeight="1" x14ac:dyDescent="0.25"/>
    <row r="96" ht="20.05" customHeight="1" x14ac:dyDescent="0.25"/>
    <row r="97" ht="20.05" customHeight="1" x14ac:dyDescent="0.25"/>
    <row r="98" ht="20.05" customHeight="1" x14ac:dyDescent="0.25"/>
    <row r="99" ht="20.05" customHeight="1" x14ac:dyDescent="0.25"/>
    <row r="100" ht="20.05" customHeight="1" x14ac:dyDescent="0.25"/>
    <row r="101" ht="20.05" customHeight="1" x14ac:dyDescent="0.25"/>
    <row r="102" ht="20.05" customHeight="1" x14ac:dyDescent="0.25"/>
    <row r="103" ht="20.05" customHeight="1" x14ac:dyDescent="0.25"/>
    <row r="104" ht="20.05" customHeight="1" x14ac:dyDescent="0.25"/>
    <row r="105" ht="20.05" customHeight="1" x14ac:dyDescent="0.25"/>
    <row r="106" ht="20.05" customHeight="1" x14ac:dyDescent="0.25"/>
    <row r="107" ht="20.05" customHeight="1" x14ac:dyDescent="0.25"/>
    <row r="108" ht="20.05" customHeight="1" x14ac:dyDescent="0.25"/>
    <row r="109" ht="20.05" customHeight="1" x14ac:dyDescent="0.25"/>
    <row r="110" ht="20.05" customHeight="1" x14ac:dyDescent="0.25"/>
    <row r="111" ht="20.05" customHeight="1" x14ac:dyDescent="0.25"/>
    <row r="112" ht="20.05" customHeight="1" x14ac:dyDescent="0.25"/>
    <row r="113" ht="20.05" customHeight="1" x14ac:dyDescent="0.25"/>
    <row r="114" ht="20.05" customHeight="1" x14ac:dyDescent="0.25"/>
    <row r="115" ht="20.05" customHeight="1" x14ac:dyDescent="0.25"/>
    <row r="116" ht="20.05" customHeight="1" x14ac:dyDescent="0.25"/>
    <row r="117" ht="20.05" customHeight="1" x14ac:dyDescent="0.25"/>
    <row r="118" ht="20.05" customHeight="1" x14ac:dyDescent="0.25"/>
    <row r="119" ht="20.05" customHeight="1" x14ac:dyDescent="0.25"/>
    <row r="120" ht="20.05" customHeight="1" x14ac:dyDescent="0.25"/>
    <row r="121" ht="20.05" customHeight="1" x14ac:dyDescent="0.25"/>
    <row r="122" ht="20.05" customHeight="1" x14ac:dyDescent="0.25"/>
    <row r="123" ht="20.05" customHeight="1" x14ac:dyDescent="0.25"/>
    <row r="124" ht="20.05" customHeight="1" x14ac:dyDescent="0.25"/>
    <row r="125" ht="20.05" customHeight="1" x14ac:dyDescent="0.25"/>
    <row r="126" ht="20.05" customHeight="1" x14ac:dyDescent="0.25"/>
    <row r="127" ht="20.05" customHeight="1" x14ac:dyDescent="0.25"/>
    <row r="128" ht="20.05" customHeight="1" x14ac:dyDescent="0.25"/>
    <row r="129" ht="20.05" customHeight="1" x14ac:dyDescent="0.25"/>
    <row r="130" ht="20.05" customHeight="1" x14ac:dyDescent="0.25"/>
    <row r="131" ht="20.05" customHeight="1" x14ac:dyDescent="0.25"/>
  </sheetData>
  <mergeCells count="11">
    <mergeCell ref="J23:L23"/>
    <mergeCell ref="J9:L9"/>
    <mergeCell ref="K10:L10"/>
    <mergeCell ref="K11:L11"/>
    <mergeCell ref="K12:L12"/>
    <mergeCell ref="J15:L15"/>
    <mergeCell ref="K16:L16"/>
    <mergeCell ref="K17:L17"/>
    <mergeCell ref="K18:L18"/>
    <mergeCell ref="K19:L19"/>
    <mergeCell ref="K20:L20"/>
  </mergeCells>
  <conditionalFormatting sqref="K16:L16">
    <cfRule type="expression" dxfId="0" priority="1">
      <formula>$K$16&gt;$K$10*0.5</formula>
    </cfRule>
  </conditionalFormatting>
  <dataValidations count="2">
    <dataValidation type="list" allowBlank="1" showInputMessage="1" showErrorMessage="1" sqref="K32" xr:uid="{A0B82BBA-C523-43AF-B5FD-D283F78E2F0A}">
      <formula1>"CONSERVADOR,MODERADO,AGRESSIVO"</formula1>
    </dataValidation>
    <dataValidation type="custom" errorStyle="information" allowBlank="1" showErrorMessage="1" errorTitle="ATENÇÃO" error="O valor é maior que o recomendado! Favor revisar o valor a ser investido." promptTitle="Alerta" prompt="Favor preencher com um valor correspondente a no máximo 50% do salário!" sqref="K16:L16" xr:uid="{434B5EF0-F55A-4D88-8843-67D2C08CB91B}">
      <formula1>aporte&lt;=(salario*0.3)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5D1D-13AA-4331-84A7-3A0527230363}">
  <dimension ref="A2:D21"/>
  <sheetViews>
    <sheetView workbookViewId="0">
      <selection activeCell="D11" sqref="D11"/>
    </sheetView>
  </sheetViews>
  <sheetFormatPr defaultRowHeight="14.3" x14ac:dyDescent="0.25"/>
  <cols>
    <col min="1" max="1" width="31.5" bestFit="1" customWidth="1"/>
    <col min="2" max="2" width="16.75" bestFit="1" customWidth="1"/>
    <col min="3" max="3" width="20.75" bestFit="1" customWidth="1"/>
    <col min="4" max="4" width="11.625" style="27" bestFit="1" customWidth="1"/>
  </cols>
  <sheetData>
    <row r="2" spans="1:4" ht="14.95" thickBot="1" x14ac:dyDescent="0.3"/>
    <row r="3" spans="1:4" ht="15.65" thickTop="1" thickBot="1" x14ac:dyDescent="0.3">
      <c r="A3" s="33" t="s">
        <v>31</v>
      </c>
      <c r="B3" s="34" t="s">
        <v>17</v>
      </c>
      <c r="C3" s="34" t="s">
        <v>22</v>
      </c>
      <c r="D3" s="34" t="s">
        <v>30</v>
      </c>
    </row>
    <row r="4" spans="1:4" ht="14.95" thickTop="1" x14ac:dyDescent="0.25">
      <c r="A4" t="str">
        <f>$B$4&amp;"-"&amp;C4</f>
        <v>CONSERVADOR-PAPEL</v>
      </c>
      <c r="B4" s="27" t="s">
        <v>29</v>
      </c>
      <c r="C4" s="27" t="s">
        <v>23</v>
      </c>
      <c r="D4" s="28">
        <v>0.3</v>
      </c>
    </row>
    <row r="5" spans="1:4" x14ac:dyDescent="0.25">
      <c r="A5" t="str">
        <f t="shared" ref="A5:A9" si="0">$B$4&amp;"-"&amp;C5</f>
        <v>CONSERVADOR-TIJOLO</v>
      </c>
      <c r="B5" s="27" t="s">
        <v>29</v>
      </c>
      <c r="C5" s="27" t="s">
        <v>24</v>
      </c>
      <c r="D5" s="28">
        <v>0.5</v>
      </c>
    </row>
    <row r="6" spans="1:4" x14ac:dyDescent="0.25">
      <c r="A6" t="str">
        <f t="shared" si="0"/>
        <v>CONSERVADOR-HÍBRIDOS</v>
      </c>
      <c r="B6" s="27" t="s">
        <v>29</v>
      </c>
      <c r="C6" s="27" t="s">
        <v>25</v>
      </c>
      <c r="D6" s="28">
        <v>0.1</v>
      </c>
    </row>
    <row r="7" spans="1:4" x14ac:dyDescent="0.25">
      <c r="A7" t="str">
        <f t="shared" si="0"/>
        <v>CONSERVADOR-FOFs</v>
      </c>
      <c r="B7" s="27" t="s">
        <v>29</v>
      </c>
      <c r="C7" s="27" t="s">
        <v>26</v>
      </c>
      <c r="D7" s="28">
        <v>0.1</v>
      </c>
    </row>
    <row r="8" spans="1:4" x14ac:dyDescent="0.25">
      <c r="A8" t="str">
        <f t="shared" si="0"/>
        <v>CONSERVADOR-DESENVOLVIMENTO</v>
      </c>
      <c r="B8" s="27" t="s">
        <v>29</v>
      </c>
      <c r="C8" s="27" t="s">
        <v>27</v>
      </c>
      <c r="D8" s="28">
        <v>0</v>
      </c>
    </row>
    <row r="9" spans="1:4" ht="14.95" thickBot="1" x14ac:dyDescent="0.3">
      <c r="A9" s="29" t="str">
        <f t="shared" si="0"/>
        <v>CONSERVADOR-HOTELARIAS</v>
      </c>
      <c r="B9" s="30" t="s">
        <v>29</v>
      </c>
      <c r="C9" s="30" t="s">
        <v>28</v>
      </c>
      <c r="D9" s="31">
        <v>0</v>
      </c>
    </row>
    <row r="10" spans="1:4" x14ac:dyDescent="0.25">
      <c r="A10" t="str">
        <f>$B$10&amp;"-"&amp;C10</f>
        <v>MODERADO-PAPEL</v>
      </c>
      <c r="B10" s="24" t="s">
        <v>32</v>
      </c>
      <c r="C10" s="27" t="s">
        <v>23</v>
      </c>
      <c r="D10" s="28">
        <v>0.22</v>
      </c>
    </row>
    <row r="11" spans="1:4" x14ac:dyDescent="0.25">
      <c r="A11" t="str">
        <f t="shared" ref="A11:A15" si="1">$B$10&amp;"-"&amp;C11</f>
        <v>MODERADO-TIJOLO</v>
      </c>
      <c r="B11" s="24" t="s">
        <v>32</v>
      </c>
      <c r="C11" s="27" t="s">
        <v>24</v>
      </c>
      <c r="D11" s="28">
        <v>0.4</v>
      </c>
    </row>
    <row r="12" spans="1:4" x14ac:dyDescent="0.25">
      <c r="A12" t="str">
        <f t="shared" si="1"/>
        <v>MODERADO-HÍBRIDOS</v>
      </c>
      <c r="B12" s="24" t="s">
        <v>32</v>
      </c>
      <c r="C12" s="27" t="s">
        <v>25</v>
      </c>
      <c r="D12" s="28">
        <v>0.08</v>
      </c>
    </row>
    <row r="13" spans="1:4" x14ac:dyDescent="0.25">
      <c r="A13" t="str">
        <f t="shared" si="1"/>
        <v>MODERADO-FOFs</v>
      </c>
      <c r="B13" s="24" t="s">
        <v>32</v>
      </c>
      <c r="C13" s="27" t="s">
        <v>26</v>
      </c>
      <c r="D13" s="28">
        <v>0.1</v>
      </c>
    </row>
    <row r="14" spans="1:4" x14ac:dyDescent="0.25">
      <c r="A14" t="str">
        <f t="shared" si="1"/>
        <v>MODERADO-DESENVOLVIMENTO</v>
      </c>
      <c r="B14" s="24" t="s">
        <v>32</v>
      </c>
      <c r="C14" s="27" t="s">
        <v>27</v>
      </c>
      <c r="D14" s="28">
        <v>0.1</v>
      </c>
    </row>
    <row r="15" spans="1:4" ht="14.95" thickBot="1" x14ac:dyDescent="0.3">
      <c r="A15" s="29" t="str">
        <f t="shared" si="1"/>
        <v>MODERADO-HOTELARIAS</v>
      </c>
      <c r="B15" s="32" t="s">
        <v>32</v>
      </c>
      <c r="C15" s="30" t="s">
        <v>28</v>
      </c>
      <c r="D15" s="31">
        <v>0.1</v>
      </c>
    </row>
    <row r="16" spans="1:4" x14ac:dyDescent="0.25">
      <c r="A16" t="str">
        <f>$B$16&amp;"-"&amp;C16</f>
        <v>AGRESSIVO-PAPEL</v>
      </c>
      <c r="B16" s="24" t="s">
        <v>18</v>
      </c>
      <c r="C16" s="27" t="s">
        <v>23</v>
      </c>
      <c r="D16" s="28">
        <v>0.5</v>
      </c>
    </row>
    <row r="17" spans="1:4" x14ac:dyDescent="0.25">
      <c r="A17" t="str">
        <f t="shared" ref="A17:A21" si="2">$B$16&amp;"-"&amp;C17</f>
        <v>AGRESSIVO-TIJOLO</v>
      </c>
      <c r="B17" s="24" t="s">
        <v>18</v>
      </c>
      <c r="C17" s="27" t="s">
        <v>24</v>
      </c>
      <c r="D17" s="28">
        <v>0.1</v>
      </c>
    </row>
    <row r="18" spans="1:4" x14ac:dyDescent="0.25">
      <c r="A18" t="str">
        <f t="shared" si="2"/>
        <v>AGRESSIVO-HÍBRIDOS</v>
      </c>
      <c r="B18" s="24" t="s">
        <v>18</v>
      </c>
      <c r="C18" s="27" t="s">
        <v>25</v>
      </c>
      <c r="D18" s="28">
        <v>0.05</v>
      </c>
    </row>
    <row r="19" spans="1:4" x14ac:dyDescent="0.25">
      <c r="A19" t="str">
        <f t="shared" si="2"/>
        <v>AGRESSIVO-FOFs</v>
      </c>
      <c r="B19" s="24" t="s">
        <v>18</v>
      </c>
      <c r="C19" s="27" t="s">
        <v>26</v>
      </c>
      <c r="D19" s="28">
        <v>0.05</v>
      </c>
    </row>
    <row r="20" spans="1:4" x14ac:dyDescent="0.25">
      <c r="A20" t="str">
        <f t="shared" si="2"/>
        <v>AGRESSIVO-DESENVOLVIMENTO</v>
      </c>
      <c r="B20" s="24" t="s">
        <v>18</v>
      </c>
      <c r="C20" s="27" t="s">
        <v>27</v>
      </c>
      <c r="D20" s="28">
        <v>0.2</v>
      </c>
    </row>
    <row r="21" spans="1:4" ht="14.95" thickBot="1" x14ac:dyDescent="0.3">
      <c r="A21" s="29" t="str">
        <f t="shared" si="2"/>
        <v>AGRESSIVO-HOTELARIAS</v>
      </c>
      <c r="B21" s="32" t="s">
        <v>18</v>
      </c>
      <c r="C21" s="30" t="s">
        <v>28</v>
      </c>
      <c r="D21" s="3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 de investimento</vt:lpstr>
      <vt:lpstr>Tipo de Investimento</vt:lpstr>
      <vt:lpstr>aporte</vt:lpstr>
      <vt:lpstr>patrimonio</vt:lpstr>
      <vt:lpstr>prazo_anos</vt:lpstr>
      <vt:lpstr>rendimento_carteira</vt:lpstr>
      <vt:lpstr>rendimento_mensal</vt:lpstr>
      <vt:lpstr>salario</vt:lpstr>
      <vt:lpstr>sugestao_invest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kiatkowski</dc:creator>
  <cp:lastModifiedBy>daniel kiatkowski</cp:lastModifiedBy>
  <dcterms:created xsi:type="dcterms:W3CDTF">2026-02-14T17:43:40Z</dcterms:created>
  <dcterms:modified xsi:type="dcterms:W3CDTF">2026-02-15T12:08:55Z</dcterms:modified>
</cp:coreProperties>
</file>